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n327_Excel\"/>
    </mc:Choice>
  </mc:AlternateContent>
  <xr:revisionPtr revIDLastSave="0" documentId="13_ncr:1_{D5F800C3-0AC3-4C08-8291-A262DDF5612E}" xr6:coauthVersionLast="47" xr6:coauthVersionMax="47" xr10:uidLastSave="{00000000-0000-0000-0000-000000000000}"/>
  <bookViews>
    <workbookView xWindow="12624" yWindow="312" windowWidth="10488" windowHeight="11928" activeTab="2" xr2:uid="{E13722E0-135A-4D15-A776-3A09B0E6E470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1" i="3" l="1"/>
  <c r="C21" i="3"/>
  <c r="D25" i="3"/>
  <c r="C25" i="3"/>
  <c r="D3" i="3"/>
  <c r="G10" i="2"/>
  <c r="G11" i="2"/>
  <c r="G12" i="2"/>
  <c r="G13" i="2"/>
  <c r="G14" i="2"/>
  <c r="G15" i="2"/>
  <c r="G16" i="2"/>
  <c r="G17" i="2"/>
  <c r="G18" i="2"/>
  <c r="C11" i="2"/>
  <c r="C12" i="2"/>
  <c r="C13" i="2"/>
  <c r="C14" i="2"/>
  <c r="C15" i="2"/>
  <c r="C16" i="2"/>
  <c r="C17" i="2"/>
  <c r="C18" i="2"/>
  <c r="C10" i="2"/>
  <c r="D11" i="2"/>
  <c r="D12" i="2"/>
  <c r="D13" i="2"/>
  <c r="D14" i="2"/>
  <c r="D15" i="2"/>
  <c r="D16" i="2"/>
  <c r="D17" i="2"/>
  <c r="D18" i="2"/>
  <c r="D10" i="2"/>
  <c r="F11" i="2"/>
  <c r="F12" i="2"/>
  <c r="F13" i="2"/>
  <c r="F14" i="2"/>
  <c r="F15" i="2"/>
  <c r="F16" i="2"/>
  <c r="F17" i="2"/>
  <c r="F18" i="2"/>
  <c r="F10" i="2"/>
  <c r="E11" i="2"/>
  <c r="E12" i="2"/>
  <c r="E13" i="2"/>
  <c r="E14" i="2"/>
  <c r="E15" i="2"/>
  <c r="E16" i="2"/>
  <c r="E17" i="2"/>
  <c r="E18" i="2"/>
  <c r="E10" i="2"/>
  <c r="F2" i="2"/>
  <c r="F3" i="2"/>
  <c r="F4" i="2"/>
  <c r="F5" i="2"/>
  <c r="F6" i="2"/>
  <c r="E2" i="2"/>
  <c r="E3" i="2"/>
  <c r="E4" i="2"/>
  <c r="E5" i="2"/>
  <c r="E6" i="2"/>
  <c r="H2" i="2"/>
  <c r="H3" i="2"/>
  <c r="H4" i="2"/>
  <c r="H5" i="2"/>
  <c r="H6" i="2"/>
  <c r="F13" i="1"/>
  <c r="F14" i="1"/>
  <c r="F11" i="1"/>
  <c r="F12" i="1"/>
  <c r="J11" i="1" a="1"/>
  <c r="J11" i="1" s="1"/>
  <c r="D17" i="1"/>
  <c r="C17" i="1"/>
  <c r="I2" i="1"/>
  <c r="I3" i="1"/>
  <c r="I4" i="1"/>
  <c r="I5" i="1"/>
  <c r="I6" i="1"/>
  <c r="I7" i="1"/>
  <c r="E12" i="1"/>
  <c r="E13" i="1"/>
  <c r="E14" i="1"/>
  <c r="D13" i="1"/>
  <c r="D14" i="1"/>
  <c r="D12" i="1"/>
  <c r="H14" i="1"/>
  <c r="H13" i="1"/>
  <c r="H12" i="1"/>
  <c r="H11" i="1"/>
  <c r="E11" i="1"/>
  <c r="G14" i="1"/>
  <c r="G13" i="1"/>
  <c r="G12" i="1"/>
  <c r="G11" i="1"/>
  <c r="D11" i="1"/>
  <c r="E3" i="1"/>
  <c r="E4" i="1"/>
  <c r="E5" i="1"/>
  <c r="E6" i="1"/>
  <c r="E7" i="1"/>
  <c r="H3" i="1"/>
  <c r="H4" i="1"/>
  <c r="H5" i="1"/>
  <c r="H6" i="1"/>
  <c r="H7" i="1"/>
  <c r="H2" i="1"/>
  <c r="G7" i="1"/>
  <c r="G6" i="1"/>
  <c r="E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<sst xmlns="http://schemas.openxmlformats.org/spreadsheetml/2006/main" count="92" uniqueCount="79">
  <si>
    <t>fname</t>
  </si>
  <si>
    <t>lname</t>
  </si>
  <si>
    <t>designation</t>
  </si>
  <si>
    <t>location</t>
  </si>
  <si>
    <t>email_address</t>
  </si>
  <si>
    <t>aman</t>
  </si>
  <si>
    <t>raj</t>
  </si>
  <si>
    <t>bhushan</t>
  </si>
  <si>
    <t>sanjay</t>
  </si>
  <si>
    <t>karan</t>
  </si>
  <si>
    <t>kiran</t>
  </si>
  <si>
    <t>rajawat</t>
  </si>
  <si>
    <t>saxsena</t>
  </si>
  <si>
    <t>jha</t>
  </si>
  <si>
    <t>chaudary</t>
  </si>
  <si>
    <t>kamal</t>
  </si>
  <si>
    <t>sharma</t>
  </si>
  <si>
    <t>data engineer</t>
  </si>
  <si>
    <t>data analyst</t>
  </si>
  <si>
    <t>data scientist</t>
  </si>
  <si>
    <t>python developer</t>
  </si>
  <si>
    <t>hyderabad</t>
  </si>
  <si>
    <t>noida</t>
  </si>
  <si>
    <t>gurgaon</t>
  </si>
  <si>
    <t>bangalore</t>
  </si>
  <si>
    <t>salary(annual)</t>
  </si>
  <si>
    <t>monthly salary</t>
  </si>
  <si>
    <t>da</t>
  </si>
  <si>
    <t>basic salary</t>
  </si>
  <si>
    <t>python devloper</t>
  </si>
  <si>
    <t>total salary</t>
  </si>
  <si>
    <t>average salary</t>
  </si>
  <si>
    <t>maximum salary</t>
  </si>
  <si>
    <t>minimum  salary</t>
  </si>
  <si>
    <t>employees</t>
  </si>
  <si>
    <t>mode (age)</t>
  </si>
  <si>
    <t>number of occurances</t>
  </si>
  <si>
    <t>age</t>
  </si>
  <si>
    <t>name</t>
  </si>
  <si>
    <t>marks</t>
  </si>
  <si>
    <t>dob</t>
  </si>
  <si>
    <t>ajay</t>
  </si>
  <si>
    <t>bhavin</t>
  </si>
  <si>
    <t>bhavesh</t>
  </si>
  <si>
    <t>ganesh</t>
  </si>
  <si>
    <t>yob</t>
  </si>
  <si>
    <t>present age</t>
  </si>
  <si>
    <t>yom</t>
  </si>
  <si>
    <t>present years</t>
  </si>
  <si>
    <t>present month</t>
  </si>
  <si>
    <t>birth day</t>
  </si>
  <si>
    <t>present day</t>
  </si>
  <si>
    <t>num1</t>
  </si>
  <si>
    <t>num2</t>
  </si>
  <si>
    <t>add</t>
  </si>
  <si>
    <t>sub</t>
  </si>
  <si>
    <t>multiplication</t>
  </si>
  <si>
    <t>divison</t>
  </si>
  <si>
    <t>statistisc summary of number</t>
  </si>
  <si>
    <t>greater value num 1</t>
  </si>
  <si>
    <t>principal</t>
  </si>
  <si>
    <t>rate of intrest</t>
  </si>
  <si>
    <t>time(month)</t>
  </si>
  <si>
    <t xml:space="preserve"> time(year)</t>
  </si>
  <si>
    <t>s.i</t>
  </si>
  <si>
    <t>amount</t>
  </si>
  <si>
    <t>Column1</t>
  </si>
  <si>
    <t>Column2</t>
  </si>
  <si>
    <t>Column3</t>
  </si>
  <si>
    <t>Column4</t>
  </si>
  <si>
    <t>Column5</t>
  </si>
  <si>
    <t>Column6</t>
  </si>
  <si>
    <t>length</t>
  </si>
  <si>
    <t>breadth</t>
  </si>
  <si>
    <t>area</t>
  </si>
  <si>
    <t>perimeter</t>
  </si>
  <si>
    <t>radius</t>
  </si>
  <si>
    <t>hength</t>
  </si>
  <si>
    <t>volume of cylinder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</si>
</sst>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5"/>
      </patternFill>
    </fill>
    <fill>
      <patternFill patternType="solid">
        <fgColor theme="7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7" borderId="0" applyNumberFormat="0" applyBorder="0" applyAlignment="0" applyProtection="0"/>
    <xf numFmtId="0" fontId="1" fillId="8" borderId="0" applyNumberFormat="0" applyBorder="0" applyAlignment="0" applyProtection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14" fontId="0" fillId="0" borderId="0" xfId="0" applyNumberFormat="1"/>
    <xf numFmtId="0" fontId="1" fillId="7" borderId="0" xfId="1"/>
    <xf numFmtId="0" fontId="1" fillId="8" borderId="0" xfId="2"/>
  </cellXfs>
  <cellStyles count="3">
    <cellStyle name="Accent2" xfId="1" builtinId="33"/>
    <cellStyle name="Accent4" xfId="2" builtinId="41"/>
    <cellStyle name="Normal" xfId="0" builtinId="0"/>
  </cellStyles>
  <dxfs count="7">
    <dxf>
      <numFmt numFmtId="0" formatCode="General"/>
    </dxf>
    <dxf>
      <numFmt numFmtId="19" formatCode="dd/mm/yyyy"/>
    </dxf>
    <dxf>
      <numFmt numFmtId="19" formatCode="dd/mm/yyyy"/>
    </dxf>
    <dxf>
      <numFmt numFmtId="19" formatCode="dd/mm/yyyy"/>
    </dxf>
    <dxf>
      <numFmt numFmtId="0" formatCode="General"/>
    </dxf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3904E1B-21D3-49AB-A339-07A0056B38F6}" name="Table1" displayName="Table1" ref="A1:K6" totalsRowShown="0">
  <autoFilter ref="A1:K6" xr:uid="{43904E1B-21D3-49AB-A339-07A0056B38F6}"/>
  <tableColumns count="11">
    <tableColumn id="1" xr3:uid="{BA2A4733-F48D-484B-B3B7-76D662C7A80E}" name="name"/>
    <tableColumn id="2" xr3:uid="{3AC4C8B0-676C-4755-A729-82B7186C4CAB}" name="age"/>
    <tableColumn id="3" xr3:uid="{3FBCCEB7-58D8-4D9E-BD83-DC7570A8EF15}" name="marks"/>
    <tableColumn id="4" xr3:uid="{6409D019-19E8-4DAD-A402-283722446E2A}" name="yob" dataDxfId="6">
      <calculatedColumnFormula array="1">YEAR(dob)</calculatedColumnFormula>
    </tableColumn>
    <tableColumn id="10" xr3:uid="{8A6D679C-7A84-44BD-A77A-91FE03324E0A}" name="birth day" dataDxfId="5">
      <calculatedColumnFormula>TEXT(Table1[[#This Row],[dob]],"dddd")</calculatedColumnFormula>
    </tableColumn>
    <tableColumn id="5" xr3:uid="{1502FCE2-A15C-4062-94D2-9FC3EE06D5BA}" name="yom" dataDxfId="4">
      <calculatedColumnFormula>TEXT(Table1[[#This Row],[dob]],"mmm")</calculatedColumnFormula>
    </tableColumn>
    <tableColumn id="6" xr3:uid="{D0085BDF-1576-406C-96CC-D7296931BF6B}" name="dob"/>
    <tableColumn id="7" xr3:uid="{B8B84728-436C-4A61-9B70-A992B8E8217D}" name="present age" dataDxfId="3">
      <calculatedColumnFormula>TODAY()</calculatedColumnFormula>
    </tableColumn>
    <tableColumn id="12" xr3:uid="{9712F9FE-9472-46DE-A3D3-84618C8DF4C6}" name="present day" dataDxfId="2">
      <calculatedColumnFormula>Table1[[#This Row],[present years]]-Table1[[#This Row],[yob]]</calculatedColumnFormula>
    </tableColumn>
    <tableColumn id="8" xr3:uid="{805FF79B-496B-417E-BB2D-34370B731262}" name="present years" dataDxfId="1">
      <calculatedColumnFormula>YEAR(TODAY())</calculatedColumnFormula>
    </tableColumn>
    <tableColumn id="9" xr3:uid="{5DA2D5C6-C77A-47CF-9D2E-9D06DD160BEB}" name="present month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E4FFBAD-ED95-41C1-8B1A-29F0B7E03DE3}" name="Table2" displayName="Table2" ref="A9:G18" totalsRowShown="0">
  <autoFilter ref="A9:G18" xr:uid="{CE4FFBAD-ED95-41C1-8B1A-29F0B7E03DE3}"/>
  <tableColumns count="7">
    <tableColumn id="1" xr3:uid="{3D6A6C99-87F0-4FCE-997B-D99B5DADE557}" name="num1"/>
    <tableColumn id="2" xr3:uid="{0C2AD961-8BC9-4DBE-B255-EB21AF190CF0}" name="num2"/>
    <tableColumn id="3" xr3:uid="{D5C81E4F-8D02-4FA3-9499-766846369843}" name="add">
      <calculatedColumnFormula>A10+B10</calculatedColumnFormula>
    </tableColumn>
    <tableColumn id="4" xr3:uid="{1668E246-D494-4A6B-BBC7-366C78F43915}" name="sub">
      <calculatedColumnFormula>A10-B10</calculatedColumnFormula>
    </tableColumn>
    <tableColumn id="5" xr3:uid="{270AF002-B137-4E98-8E2D-08CB974AB2FC}" name="multiplication">
      <calculatedColumnFormula>A10*B10</calculatedColumnFormula>
    </tableColumn>
    <tableColumn id="6" xr3:uid="{AF060621-3790-4D24-A34D-26D08B4A64B9}" name="divison">
      <calculatedColumnFormula>A10/B10</calculatedColumnFormula>
    </tableColumn>
    <tableColumn id="7" xr3:uid="{4BDA3D72-2E8B-42E8-8DA3-62EDCCD753B7}" name="greater value num 1" dataDxfId="0">
      <calculatedColumnFormula>Table2[[#This Row],[num1]]&gt;Table2[[#This Row],[num2]]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15E2E81-1F3F-49AD-859E-7DCB3CE9CC0F}" name="Table3" displayName="Table3" ref="A1:F3" totalsRowShown="0">
  <autoFilter ref="A1:F3" xr:uid="{815E2E81-1F3F-49AD-859E-7DCB3CE9CC0F}"/>
  <tableColumns count="6">
    <tableColumn id="1" xr3:uid="{72633C25-D80E-4C76-B047-785096009582}" name="Column1"/>
    <tableColumn id="2" xr3:uid="{9A1006CB-FDC2-4DE0-ACB3-84EE4F2C1D78}" name="Column2"/>
    <tableColumn id="3" xr3:uid="{2D1E4012-13F7-48ED-AB9E-31A88F3C1663}" name="Column3"/>
    <tableColumn id="4" xr3:uid="{4E1AA9F6-99F9-4424-9CFA-2AB5EECA1BE0}" name="Column4"/>
    <tableColumn id="5" xr3:uid="{B71F54C8-017F-4ADC-8967-D42C2132977B}" name="Column5"/>
    <tableColumn id="6" xr3:uid="{230934AF-D9BF-483B-8DD1-1C975C95CA66}" name="Column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B9B8D-D7B0-45CB-B05B-B08664A00CE1}">
  <dimension ref="A1:K25"/>
  <sheetViews>
    <sheetView topLeftCell="A4" workbookViewId="0">
      <selection activeCell="K4" sqref="K4"/>
    </sheetView>
  </sheetViews>
  <sheetFormatPr defaultRowHeight="14.4" x14ac:dyDescent="0.3"/>
  <cols>
    <col min="3" max="3" width="15.5546875" customWidth="1"/>
    <col min="4" max="4" width="23.77734375" customWidth="1"/>
    <col min="5" max="5" width="14.5546875" customWidth="1"/>
    <col min="6" max="6" width="15.5546875" customWidth="1"/>
    <col min="7" max="7" width="15.33203125" customWidth="1"/>
    <col min="8" max="8" width="12.109375" customWidth="1"/>
    <col min="9" max="9" width="14" customWidth="1"/>
    <col min="10" max="10" width="10.109375" customWidth="1"/>
    <col min="11" max="11" width="11.33203125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25</v>
      </c>
      <c r="G1" s="1" t="s">
        <v>26</v>
      </c>
      <c r="H1" s="1" t="s">
        <v>27</v>
      </c>
      <c r="I1" s="1" t="s">
        <v>28</v>
      </c>
    </row>
    <row r="2" spans="1:11" x14ac:dyDescent="0.3">
      <c r="A2" s="2" t="s">
        <v>5</v>
      </c>
      <c r="B2" s="2" t="s">
        <v>16</v>
      </c>
      <c r="C2" s="2" t="s">
        <v>17</v>
      </c>
      <c r="D2" s="2" t="s">
        <v>24</v>
      </c>
      <c r="E2" s="2" t="str">
        <f>_xlfn.TEXTJOIN(",",FALSE,A2,B2)</f>
        <v>aman,sharma</v>
      </c>
      <c r="F2" s="2">
        <v>900000</v>
      </c>
      <c r="G2" s="2">
        <v>75000</v>
      </c>
      <c r="H2" s="2">
        <f>0.1*G2</f>
        <v>7500</v>
      </c>
      <c r="I2" s="2">
        <f>0.6*G2</f>
        <v>45000</v>
      </c>
    </row>
    <row r="3" spans="1:11" x14ac:dyDescent="0.3">
      <c r="A3" s="2" t="s">
        <v>6</v>
      </c>
      <c r="B3" s="2" t="s">
        <v>15</v>
      </c>
      <c r="C3" s="2" t="s">
        <v>18</v>
      </c>
      <c r="D3" s="2" t="s">
        <v>21</v>
      </c>
      <c r="E3" s="2" t="str">
        <f t="shared" ref="E3:E7" si="0">_xlfn.TEXTJOIN(",",FALSE,A3,B3)</f>
        <v>raj,kamal</v>
      </c>
      <c r="F3" s="2">
        <v>840000</v>
      </c>
      <c r="G3" s="2">
        <v>70000</v>
      </c>
      <c r="H3" s="2">
        <f t="shared" ref="H3:H7" si="1">0.1*G3</f>
        <v>7000</v>
      </c>
      <c r="I3" s="2">
        <f t="shared" ref="I3:I7" si="2">0.6*G3</f>
        <v>42000</v>
      </c>
    </row>
    <row r="4" spans="1:11" x14ac:dyDescent="0.3">
      <c r="A4" s="2" t="s">
        <v>7</v>
      </c>
      <c r="B4" s="2" t="s">
        <v>14</v>
      </c>
      <c r="C4" s="2" t="s">
        <v>19</v>
      </c>
      <c r="D4" s="2" t="s">
        <v>24</v>
      </c>
      <c r="E4" s="2" t="str">
        <f t="shared" si="0"/>
        <v>bhushan,chaudary</v>
      </c>
      <c r="F4" s="2">
        <v>1200000</v>
      </c>
      <c r="G4" s="2">
        <v>100000</v>
      </c>
      <c r="H4" s="2">
        <f t="shared" si="1"/>
        <v>10000</v>
      </c>
      <c r="I4" s="2">
        <f t="shared" si="2"/>
        <v>60000</v>
      </c>
    </row>
    <row r="5" spans="1:11" x14ac:dyDescent="0.3">
      <c r="A5" s="2" t="s">
        <v>8</v>
      </c>
      <c r="B5" s="2" t="s">
        <v>13</v>
      </c>
      <c r="C5" s="2" t="s">
        <v>18</v>
      </c>
      <c r="D5" s="2" t="s">
        <v>23</v>
      </c>
      <c r="E5" s="2" t="str">
        <f t="shared" si="0"/>
        <v>sanjay,jha</v>
      </c>
      <c r="F5" s="2">
        <v>900000</v>
      </c>
      <c r="G5" s="2">
        <v>75000</v>
      </c>
      <c r="H5" s="2">
        <f t="shared" si="1"/>
        <v>7500</v>
      </c>
      <c r="I5" s="2">
        <f t="shared" si="2"/>
        <v>45000</v>
      </c>
    </row>
    <row r="6" spans="1:11" x14ac:dyDescent="0.3">
      <c r="A6" s="2" t="s">
        <v>9</v>
      </c>
      <c r="B6" s="2" t="s">
        <v>12</v>
      </c>
      <c r="C6" s="2" t="s">
        <v>19</v>
      </c>
      <c r="D6" s="2" t="s">
        <v>22</v>
      </c>
      <c r="E6" s="2" t="str">
        <f t="shared" si="0"/>
        <v>karan,saxsena</v>
      </c>
      <c r="F6" s="2">
        <v>1400000</v>
      </c>
      <c r="G6" s="2">
        <f>F6/12</f>
        <v>116666.66666666667</v>
      </c>
      <c r="H6" s="2">
        <f t="shared" si="1"/>
        <v>11666.666666666668</v>
      </c>
      <c r="I6" s="2">
        <f t="shared" si="2"/>
        <v>70000</v>
      </c>
    </row>
    <row r="7" spans="1:11" x14ac:dyDescent="0.3">
      <c r="A7" s="2" t="s">
        <v>10</v>
      </c>
      <c r="B7" s="2" t="s">
        <v>11</v>
      </c>
      <c r="C7" s="2" t="s">
        <v>20</v>
      </c>
      <c r="D7" s="2" t="s">
        <v>21</v>
      </c>
      <c r="E7" s="2" t="str">
        <f t="shared" si="0"/>
        <v>kiran,rajawat</v>
      </c>
      <c r="F7" s="2">
        <v>875000</v>
      </c>
      <c r="G7" s="2">
        <f>F7/12</f>
        <v>72916.666666666672</v>
      </c>
      <c r="H7" s="2">
        <f t="shared" si="1"/>
        <v>7291.6666666666679</v>
      </c>
      <c r="I7" s="2">
        <f t="shared" si="2"/>
        <v>43750</v>
      </c>
    </row>
    <row r="10" spans="1:11" x14ac:dyDescent="0.3">
      <c r="C10" s="3" t="s">
        <v>2</v>
      </c>
      <c r="D10" s="3" t="s">
        <v>30</v>
      </c>
      <c r="E10" s="3" t="s">
        <v>31</v>
      </c>
      <c r="F10" s="3" t="s">
        <v>32</v>
      </c>
      <c r="G10" s="3" t="s">
        <v>33</v>
      </c>
      <c r="H10" s="3" t="s">
        <v>34</v>
      </c>
      <c r="J10" s="5" t="s">
        <v>3</v>
      </c>
      <c r="K10" s="5" t="s">
        <v>2</v>
      </c>
    </row>
    <row r="11" spans="1:11" x14ac:dyDescent="0.3">
      <c r="C11" s="4" t="s">
        <v>17</v>
      </c>
      <c r="D11" s="2">
        <f>SUMIF(C2:C7,"data engineer",F2:F7)</f>
        <v>900000</v>
      </c>
      <c r="E11" s="2">
        <f>AVERAGEIF(C2:C7,C2,F2:F7)</f>
        <v>900000</v>
      </c>
      <c r="F11" s="2">
        <f>_xlfn.MAXIFS(F2:F7,C2:C7,C2)</f>
        <v>900000</v>
      </c>
      <c r="G11" s="2">
        <f>_xlfn.MINIFS(F2:F7,C2:C7,C2)</f>
        <v>900000</v>
      </c>
      <c r="H11" s="2">
        <f>COUNTIF(C2:C7,C2)</f>
        <v>1</v>
      </c>
      <c r="J11" s="2" t="str" cm="1">
        <f t="array" ref="J11:J14">_xlfn.UNIQUE(D2:D7)</f>
        <v>bangalore</v>
      </c>
      <c r="K11" s="2"/>
    </row>
    <row r="12" spans="1:11" x14ac:dyDescent="0.3">
      <c r="C12" s="4" t="s">
        <v>18</v>
      </c>
      <c r="D12" s="2">
        <f>SUMIF(C2:C7,C3,F2:F7)</f>
        <v>1740000</v>
      </c>
      <c r="E12" s="2">
        <f t="shared" ref="E12:E14" si="3">AVERAGEIF(C3:C8,C3,F3:F8)</f>
        <v>870000</v>
      </c>
      <c r="F12" s="2">
        <f>_xlfn.MAXIFS(F2:F7,C2:C7,C3)</f>
        <v>900000</v>
      </c>
      <c r="G12" s="2">
        <f>_xlfn.MINIFS(F2:F7,C2:C7,C3)</f>
        <v>840000</v>
      </c>
      <c r="H12" s="2">
        <f>COUNTIF(C2:C7,C3)</f>
        <v>2</v>
      </c>
      <c r="J12" s="2" t="str">
        <v>hyderabad</v>
      </c>
      <c r="K12" s="2"/>
    </row>
    <row r="13" spans="1:11" x14ac:dyDescent="0.3">
      <c r="C13" s="4" t="s">
        <v>19</v>
      </c>
      <c r="D13" s="2">
        <f t="shared" ref="D13:D14" si="4">SUMIF(C3:C8,C4,F3:F8)</f>
        <v>2600000</v>
      </c>
      <c r="E13" s="2">
        <f t="shared" si="3"/>
        <v>1300000</v>
      </c>
      <c r="F13" s="2">
        <f t="shared" ref="F13:F14" si="5">_xlfn.MAXIFS(F3:F8,C3:C8,C4)</f>
        <v>1400000</v>
      </c>
      <c r="G13" s="2">
        <f>_xlfn.MINIFS(F2:F7,C2:C7,C4)</f>
        <v>1200000</v>
      </c>
      <c r="H13" s="2">
        <f>COUNTIF(C2:C7,C4)</f>
        <v>2</v>
      </c>
      <c r="J13" s="2" t="str">
        <v>gurgaon</v>
      </c>
      <c r="K13" s="2"/>
    </row>
    <row r="14" spans="1:11" x14ac:dyDescent="0.3">
      <c r="C14" s="4" t="s">
        <v>29</v>
      </c>
      <c r="D14" s="2">
        <f t="shared" si="4"/>
        <v>900000</v>
      </c>
      <c r="E14" s="2">
        <f t="shared" si="3"/>
        <v>900000</v>
      </c>
      <c r="F14" s="2">
        <f t="shared" si="5"/>
        <v>900000</v>
      </c>
      <c r="G14" s="2">
        <f>_xlfn.MINIFS(F2:F7,C2:C7,C7)</f>
        <v>875000</v>
      </c>
      <c r="H14" s="2">
        <f>COUNTIF(C2:C7,C7)</f>
        <v>1</v>
      </c>
      <c r="J14" s="2" t="str">
        <v>noida</v>
      </c>
      <c r="K14" s="2"/>
    </row>
    <row r="16" spans="1:11" x14ac:dyDescent="0.3">
      <c r="C16" s="6" t="s">
        <v>35</v>
      </c>
      <c r="D16" s="6" t="s">
        <v>36</v>
      </c>
      <c r="E16" s="6"/>
      <c r="G16" s="2" t="s">
        <v>37</v>
      </c>
    </row>
    <row r="17" spans="3:7" x14ac:dyDescent="0.3">
      <c r="C17" s="2">
        <f>MODE(G17:G25)</f>
        <v>25</v>
      </c>
      <c r="D17" s="2">
        <f>COUNTIF(G18:G25,C17)</f>
        <v>3</v>
      </c>
      <c r="E17" s="2"/>
      <c r="G17" s="2"/>
    </row>
    <row r="18" spans="3:7" x14ac:dyDescent="0.3">
      <c r="C18" s="2"/>
      <c r="D18" s="2"/>
      <c r="E18" s="2"/>
      <c r="G18" s="2">
        <v>26</v>
      </c>
    </row>
    <row r="19" spans="3:7" x14ac:dyDescent="0.3">
      <c r="C19" s="2"/>
      <c r="D19" s="2"/>
      <c r="E19" s="2"/>
      <c r="G19" s="2">
        <v>25</v>
      </c>
    </row>
    <row r="20" spans="3:7" x14ac:dyDescent="0.3">
      <c r="C20" s="2"/>
      <c r="D20" s="2"/>
      <c r="E20" s="2"/>
      <c r="G20" s="2">
        <v>36</v>
      </c>
    </row>
    <row r="21" spans="3:7" x14ac:dyDescent="0.3">
      <c r="C21" s="2"/>
      <c r="D21" s="2"/>
      <c r="E21" s="2"/>
      <c r="G21" s="2">
        <v>28</v>
      </c>
    </row>
    <row r="22" spans="3:7" x14ac:dyDescent="0.3">
      <c r="C22" s="2"/>
      <c r="D22" s="2"/>
      <c r="E22" s="2"/>
      <c r="G22" s="2">
        <v>25</v>
      </c>
    </row>
    <row r="23" spans="3:7" x14ac:dyDescent="0.3">
      <c r="C23" s="2"/>
      <c r="D23" s="2"/>
      <c r="E23" s="2"/>
      <c r="G23" s="2">
        <v>25</v>
      </c>
    </row>
    <row r="24" spans="3:7" x14ac:dyDescent="0.3">
      <c r="C24" s="2"/>
      <c r="D24" s="2"/>
      <c r="E24" s="2"/>
      <c r="G24" s="2">
        <v>24</v>
      </c>
    </row>
    <row r="25" spans="3:7" x14ac:dyDescent="0.3">
      <c r="G25" s="2">
        <v>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3C476-980E-4523-8017-CC10CEB78A22}">
  <dimension ref="A1:K18"/>
  <sheetViews>
    <sheetView workbookViewId="0">
      <selection activeCell="G11" sqref="G11"/>
    </sheetView>
  </sheetViews>
  <sheetFormatPr defaultRowHeight="14.4" x14ac:dyDescent="0.3"/>
  <cols>
    <col min="1" max="1" width="13.77734375" customWidth="1"/>
    <col min="4" max="5" width="18.21875" customWidth="1"/>
    <col min="6" max="6" width="17.109375" customWidth="1"/>
    <col min="7" max="7" width="11.5546875" customWidth="1"/>
    <col min="8" max="9" width="12.6640625" customWidth="1"/>
    <col min="10" max="10" width="14.109375" customWidth="1"/>
    <col min="11" max="11" width="15.33203125" customWidth="1"/>
  </cols>
  <sheetData>
    <row r="1" spans="1:11" x14ac:dyDescent="0.3">
      <c r="A1" t="s">
        <v>38</v>
      </c>
      <c r="B1" t="s">
        <v>37</v>
      </c>
      <c r="C1" t="s">
        <v>39</v>
      </c>
      <c r="D1" t="s">
        <v>45</v>
      </c>
      <c r="E1" t="s">
        <v>50</v>
      </c>
      <c r="F1" t="s">
        <v>47</v>
      </c>
      <c r="G1" t="s">
        <v>40</v>
      </c>
      <c r="H1" t="s">
        <v>46</v>
      </c>
      <c r="I1" t="s">
        <v>51</v>
      </c>
      <c r="J1" t="s">
        <v>48</v>
      </c>
      <c r="K1" t="s">
        <v>49</v>
      </c>
    </row>
    <row r="2" spans="1:11" x14ac:dyDescent="0.3">
      <c r="A2" t="s">
        <v>5</v>
      </c>
      <c r="C2">
        <v>87</v>
      </c>
      <c r="D2" s="7"/>
      <c r="E2" s="7" t="str">
        <f>TEXT(Table1[[#This Row],[dob]],"dddd")</f>
        <v>Wednesday</v>
      </c>
      <c r="F2" t="str">
        <f>TEXT(Table1[[#This Row],[dob]],"mmm")</f>
        <v>Dec</v>
      </c>
      <c r="G2" s="7">
        <v>37237</v>
      </c>
      <c r="H2" s="7">
        <f t="shared" ref="H2:H6" ca="1" si="0">TODAY()</f>
        <v>46314</v>
      </c>
      <c r="I2" s="7"/>
      <c r="J2" s="7"/>
    </row>
    <row r="3" spans="1:11" x14ac:dyDescent="0.3">
      <c r="A3" t="s">
        <v>41</v>
      </c>
      <c r="C3">
        <v>76</v>
      </c>
      <c r="D3" s="7"/>
      <c r="E3" s="7" t="str">
        <f>TEXT(Table1[[#This Row],[dob]],"dddd")</f>
        <v>Sunday</v>
      </c>
      <c r="F3" t="str">
        <f>TEXT(Table1[[#This Row],[dob]],"mmm")</f>
        <v>Apr</v>
      </c>
      <c r="G3" s="7">
        <v>34798</v>
      </c>
      <c r="H3" s="7">
        <f t="shared" ca="1" si="0"/>
        <v>46314</v>
      </c>
      <c r="I3" s="7"/>
      <c r="J3" s="7"/>
    </row>
    <row r="4" spans="1:11" x14ac:dyDescent="0.3">
      <c r="A4" t="s">
        <v>42</v>
      </c>
      <c r="C4">
        <v>74</v>
      </c>
      <c r="D4" s="7"/>
      <c r="E4" s="7" t="str">
        <f>TEXT(Table1[[#This Row],[dob]],"dddd")</f>
        <v>Monday</v>
      </c>
      <c r="F4" t="str">
        <f>TEXT(Table1[[#This Row],[dob]],"mmm")</f>
        <v>Jul</v>
      </c>
      <c r="G4" s="7">
        <v>39286</v>
      </c>
      <c r="H4" s="7">
        <f t="shared" ca="1" si="0"/>
        <v>46314</v>
      </c>
      <c r="I4" s="7"/>
      <c r="J4" s="7"/>
    </row>
    <row r="5" spans="1:11" x14ac:dyDescent="0.3">
      <c r="A5" t="s">
        <v>43</v>
      </c>
      <c r="C5">
        <v>98</v>
      </c>
      <c r="D5" s="7"/>
      <c r="E5" s="7" t="str">
        <f>TEXT(Table1[[#This Row],[dob]],"dddd")</f>
        <v>Tuesday</v>
      </c>
      <c r="F5" t="str">
        <f>TEXT(Table1[[#This Row],[dob]],"mmm")</f>
        <v>Aug</v>
      </c>
      <c r="G5" s="7">
        <v>38223</v>
      </c>
      <c r="H5" s="7">
        <f t="shared" ca="1" si="0"/>
        <v>46314</v>
      </c>
      <c r="I5" s="7"/>
      <c r="J5" s="7"/>
    </row>
    <row r="6" spans="1:11" x14ac:dyDescent="0.3">
      <c r="A6" t="s">
        <v>44</v>
      </c>
      <c r="C6">
        <v>73</v>
      </c>
      <c r="D6" s="7"/>
      <c r="E6" s="7" t="str">
        <f>TEXT(Table1[[#This Row],[dob]],"dddd")</f>
        <v>Thursday</v>
      </c>
      <c r="F6" t="str">
        <f>TEXT(Table1[[#This Row],[dob]],"mmm")</f>
        <v>Jul</v>
      </c>
      <c r="G6" s="7">
        <v>37805</v>
      </c>
      <c r="H6" s="7">
        <f t="shared" ca="1" si="0"/>
        <v>46314</v>
      </c>
      <c r="I6" s="7"/>
      <c r="J6" s="7"/>
    </row>
    <row r="9" spans="1:11" x14ac:dyDescent="0.3">
      <c r="A9" t="s">
        <v>52</v>
      </c>
      <c r="B9" t="s">
        <v>53</v>
      </c>
      <c r="C9" t="s">
        <v>54</v>
      </c>
      <c r="D9" t="s">
        <v>55</v>
      </c>
      <c r="E9" t="s">
        <v>56</v>
      </c>
      <c r="F9" t="s">
        <v>57</v>
      </c>
      <c r="G9" t="s">
        <v>59</v>
      </c>
    </row>
    <row r="10" spans="1:11" x14ac:dyDescent="0.3">
      <c r="A10">
        <v>10</v>
      </c>
      <c r="B10">
        <v>2</v>
      </c>
      <c r="C10">
        <f>A10+B10</f>
        <v>12</v>
      </c>
      <c r="D10">
        <f>A10-B10</f>
        <v>8</v>
      </c>
      <c r="E10">
        <f>A10*B10</f>
        <v>20</v>
      </c>
      <c r="F10">
        <f>A10/B10</f>
        <v>5</v>
      </c>
      <c r="G10" t="b">
        <f>Table2[[#This Row],[num1]]&gt;Table2[[#This Row],[num2]]</f>
        <v>1</v>
      </c>
      <c r="J10" t="s">
        <v>58</v>
      </c>
    </row>
    <row r="11" spans="1:11" x14ac:dyDescent="0.3">
      <c r="A11">
        <v>12</v>
      </c>
      <c r="B11">
        <v>3</v>
      </c>
      <c r="C11">
        <f t="shared" ref="C11:C18" si="1">A11+B11</f>
        <v>15</v>
      </c>
      <c r="D11">
        <f t="shared" ref="D11:D18" si="2">A11-B11</f>
        <v>9</v>
      </c>
      <c r="E11">
        <f t="shared" ref="E11:E18" si="3">A11*B11</f>
        <v>36</v>
      </c>
      <c r="F11">
        <f t="shared" ref="F11:F18" si="4">A11/B11</f>
        <v>4</v>
      </c>
      <c r="G11" t="b">
        <f>Table2[[#This Row],[num1]]&gt;Table2[[#This Row],[num2]]</f>
        <v>1</v>
      </c>
    </row>
    <row r="12" spans="1:11" x14ac:dyDescent="0.3">
      <c r="A12">
        <v>14</v>
      </c>
      <c r="B12">
        <v>4</v>
      </c>
      <c r="C12">
        <f t="shared" si="1"/>
        <v>18</v>
      </c>
      <c r="D12">
        <f t="shared" si="2"/>
        <v>10</v>
      </c>
      <c r="E12">
        <f t="shared" si="3"/>
        <v>56</v>
      </c>
      <c r="F12">
        <f t="shared" si="4"/>
        <v>3.5</v>
      </c>
      <c r="G12" t="b">
        <f>Table2[[#This Row],[num1]]&gt;Table2[[#This Row],[num2]]</f>
        <v>1</v>
      </c>
    </row>
    <row r="13" spans="1:11" x14ac:dyDescent="0.3">
      <c r="A13">
        <v>16</v>
      </c>
      <c r="B13">
        <v>5</v>
      </c>
      <c r="C13">
        <f t="shared" si="1"/>
        <v>21</v>
      </c>
      <c r="D13">
        <f t="shared" si="2"/>
        <v>11</v>
      </c>
      <c r="E13">
        <f t="shared" si="3"/>
        <v>80</v>
      </c>
      <c r="F13">
        <f t="shared" si="4"/>
        <v>3.2</v>
      </c>
      <c r="G13" t="b">
        <f>Table2[[#This Row],[num1]]&gt;Table2[[#This Row],[num2]]</f>
        <v>1</v>
      </c>
    </row>
    <row r="14" spans="1:11" x14ac:dyDescent="0.3">
      <c r="A14">
        <v>18</v>
      </c>
      <c r="B14">
        <v>6</v>
      </c>
      <c r="C14">
        <f t="shared" si="1"/>
        <v>24</v>
      </c>
      <c r="D14">
        <f t="shared" si="2"/>
        <v>12</v>
      </c>
      <c r="E14">
        <f t="shared" si="3"/>
        <v>108</v>
      </c>
      <c r="F14">
        <f t="shared" si="4"/>
        <v>3</v>
      </c>
      <c r="G14" t="b">
        <f>Table2[[#This Row],[num1]]&gt;Table2[[#This Row],[num2]]</f>
        <v>1</v>
      </c>
    </row>
    <row r="15" spans="1:11" x14ac:dyDescent="0.3">
      <c r="A15">
        <v>20</v>
      </c>
      <c r="B15">
        <v>7</v>
      </c>
      <c r="C15">
        <f t="shared" si="1"/>
        <v>27</v>
      </c>
      <c r="D15">
        <f t="shared" si="2"/>
        <v>13</v>
      </c>
      <c r="E15">
        <f t="shared" si="3"/>
        <v>140</v>
      </c>
      <c r="F15">
        <f t="shared" si="4"/>
        <v>2.8571428571428572</v>
      </c>
      <c r="G15" t="b">
        <f>Table2[[#This Row],[num1]]&gt;Table2[[#This Row],[num2]]</f>
        <v>1</v>
      </c>
    </row>
    <row r="16" spans="1:11" x14ac:dyDescent="0.3">
      <c r="A16">
        <v>22</v>
      </c>
      <c r="B16">
        <v>8</v>
      </c>
      <c r="C16">
        <f t="shared" si="1"/>
        <v>30</v>
      </c>
      <c r="D16">
        <f t="shared" si="2"/>
        <v>14</v>
      </c>
      <c r="E16">
        <f t="shared" si="3"/>
        <v>176</v>
      </c>
      <c r="F16">
        <f t="shared" si="4"/>
        <v>2.75</v>
      </c>
      <c r="G16" t="b">
        <f>Table2[[#This Row],[num1]]&gt;Table2[[#This Row],[num2]]</f>
        <v>1</v>
      </c>
    </row>
    <row r="17" spans="1:7" x14ac:dyDescent="0.3">
      <c r="A17">
        <v>24</v>
      </c>
      <c r="B17">
        <v>9</v>
      </c>
      <c r="C17">
        <f t="shared" si="1"/>
        <v>33</v>
      </c>
      <c r="D17">
        <f t="shared" si="2"/>
        <v>15</v>
      </c>
      <c r="E17">
        <f t="shared" si="3"/>
        <v>216</v>
      </c>
      <c r="F17">
        <f t="shared" si="4"/>
        <v>2.6666666666666665</v>
      </c>
      <c r="G17" t="b">
        <f>Table2[[#This Row],[num1]]&gt;Table2[[#This Row],[num2]]</f>
        <v>1</v>
      </c>
    </row>
    <row r="18" spans="1:7" x14ac:dyDescent="0.3">
      <c r="A18">
        <v>26</v>
      </c>
      <c r="B18">
        <v>10</v>
      </c>
      <c r="C18">
        <f t="shared" si="1"/>
        <v>36</v>
      </c>
      <c r="D18">
        <f t="shared" si="2"/>
        <v>16</v>
      </c>
      <c r="E18">
        <f t="shared" si="3"/>
        <v>260</v>
      </c>
      <c r="F18">
        <f t="shared" si="4"/>
        <v>2.6</v>
      </c>
      <c r="G18" t="b">
        <f>Table2[[#This Row],[num1]]&gt;Table2[[#This Row],[num2]]</f>
        <v>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2E5FC-5EBB-4B6A-ACB4-3F2F7D4782DF}">
  <dimension ref="A1:F25"/>
  <sheetViews>
    <sheetView tabSelected="1" workbookViewId="0">
      <selection activeCell="C9" sqref="C9"/>
    </sheetView>
  </sheetViews>
  <sheetFormatPr defaultRowHeight="14.4" x14ac:dyDescent="0.3"/>
  <cols>
    <col min="1" max="1" width="10.44140625" customWidth="1"/>
    <col min="2" max="2" width="14" customWidth="1"/>
    <col min="3" max="3" width="10.6640625" customWidth="1"/>
    <col min="4" max="4" width="21.21875" customWidth="1"/>
    <col min="5" max="6" width="10.44140625" customWidth="1"/>
  </cols>
  <sheetData>
    <row r="1" spans="1:6" x14ac:dyDescent="0.3">
      <c r="A1" t="s">
        <v>66</v>
      </c>
      <c r="B1" t="s">
        <v>67</v>
      </c>
      <c r="C1" t="s">
        <v>68</v>
      </c>
      <c r="D1" t="s">
        <v>69</v>
      </c>
      <c r="E1" t="s">
        <v>70</v>
      </c>
      <c r="F1" t="s">
        <v>71</v>
      </c>
    </row>
    <row r="2" spans="1:6" x14ac:dyDescent="0.3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65</v>
      </c>
    </row>
    <row r="3" spans="1:6" x14ac:dyDescent="0.3">
      <c r="A3">
        <v>100000</v>
      </c>
      <c r="B3">
        <v>9.5</v>
      </c>
      <c r="C3">
        <v>24</v>
      </c>
      <c r="D3">
        <f>Table3[[#This Row],[Column3]]/12</f>
        <v>2</v>
      </c>
    </row>
    <row r="20" spans="1:4" x14ac:dyDescent="0.3">
      <c r="A20" s="8" t="s">
        <v>72</v>
      </c>
      <c r="B20" s="8" t="s">
        <v>73</v>
      </c>
      <c r="C20" s="8" t="s">
        <v>74</v>
      </c>
      <c r="D20" s="8" t="s">
        <v>75</v>
      </c>
    </row>
    <row r="21" spans="1:4" x14ac:dyDescent="0.3">
      <c r="A21">
        <v>12</v>
      </c>
      <c r="B21">
        <v>7</v>
      </c>
      <c r="C21">
        <f>A21*B21</f>
        <v>84</v>
      </c>
      <c r="D21">
        <f>2*(A21+B21)</f>
        <v>38</v>
      </c>
    </row>
    <row r="24" spans="1:4" x14ac:dyDescent="0.3">
      <c r="A24" s="9" t="s">
        <v>76</v>
      </c>
      <c r="B24" s="9" t="s">
        <v>77</v>
      </c>
      <c r="C24" s="9" t="s">
        <v>74</v>
      </c>
      <c r="D24" s="9" t="s">
        <v>78</v>
      </c>
    </row>
    <row r="25" spans="1:4" x14ac:dyDescent="0.3">
      <c r="A25">
        <v>12</v>
      </c>
      <c r="B25">
        <v>50</v>
      </c>
      <c r="C25">
        <f>3.14*A25*A25</f>
        <v>452.15999999999997</v>
      </c>
      <c r="D25">
        <f>C25*B25</f>
        <v>22608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Bhareeya bramhankar</dc:creator>
  <cp:lastModifiedBy>Bhareeya bramhankar</cp:lastModifiedBy>
  <dcterms:created xsi:type="dcterms:W3CDTF">2026-10-14T02:07:19Z</dcterms:created>
  <dcterms:modified xsi:type="dcterms:W3CDTF">2026-10-19T04:19:37Z</dcterms:modified>
</cp:coreProperties>
</file>